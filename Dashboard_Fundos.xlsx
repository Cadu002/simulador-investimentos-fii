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/>
  <mc:AlternateContent xmlns:mc="http://schemas.openxmlformats.org/markup-compatibility/2006">
    <mc:Choice Requires="x15">
      <x15ac:absPath xmlns:x15ac="http://schemas.microsoft.com/office/spreadsheetml/2010/11/ac" url="C:\Users\USER\Documents\estudos\Excel\"/>
    </mc:Choice>
  </mc:AlternateContent>
  <xr:revisionPtr revIDLastSave="0" documentId="13_ncr:1_{6C47A079-9B5F-4B09-ADF1-9E22DE2F8CD2}" xr6:coauthVersionLast="47" xr6:coauthVersionMax="47" xr10:uidLastSave="{00000000-0000-0000-0000-000000000000}"/>
  <bookViews>
    <workbookView xWindow="3120" yWindow="720" windowWidth="14610" windowHeight="15480" tabRatio="345" xr2:uid="{D63472A4-8300-4934-9C87-0EC792DCF89D}"/>
  </bookViews>
  <sheets>
    <sheet name="APP" sheetId="1" r:id="rId1"/>
    <sheet name="Planilha2" sheetId="2" r:id="rId2"/>
  </sheets>
  <definedNames>
    <definedName name="aporte">APP!$D$17</definedName>
    <definedName name="patrimonio">APP!$D$20</definedName>
    <definedName name="qtd_anos">APP!$D$18</definedName>
    <definedName name="rendimento_carteira">APP!$D$13</definedName>
    <definedName name="salario">APP!$D$12</definedName>
    <definedName name="sugestao_investimento">APP!$D$14</definedName>
    <definedName name="taxa_mensal">APP!$D$19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4" i="1" l="1"/>
  <c r="A9" i="2"/>
  <c r="A10" i="2"/>
  <c r="A11" i="2"/>
  <c r="A12" i="2"/>
  <c r="A13" i="2"/>
  <c r="A14" i="2"/>
  <c r="A15" i="2"/>
  <c r="A16" i="2"/>
  <c r="A17" i="2"/>
  <c r="A18" i="2"/>
  <c r="A19" i="2"/>
  <c r="A20" i="2"/>
  <c r="A4" i="2"/>
  <c r="A5" i="2"/>
  <c r="A6" i="2"/>
  <c r="A7" i="2"/>
  <c r="A8" i="2"/>
  <c r="A3" i="2"/>
  <c r="C40" i="1" s="1"/>
  <c r="C33" i="1"/>
  <c r="D20" i="1"/>
  <c r="D21" i="1" s="1"/>
  <c r="C27" i="1"/>
  <c r="D27" i="1" s="1"/>
  <c r="C26" i="1"/>
  <c r="D26" i="1" s="1"/>
  <c r="C25" i="1"/>
  <c r="D25" i="1" s="1"/>
  <c r="C28" i="1"/>
  <c r="D28" i="1" s="1"/>
  <c r="C24" i="1"/>
  <c r="D24" i="1" s="1"/>
  <c r="C39" i="1" l="1"/>
  <c r="C41" i="1"/>
  <c r="C38" i="1"/>
  <c r="D38" i="1" s="1"/>
  <c r="C37" i="1"/>
  <c r="D37" i="1" s="1"/>
  <c r="C36" i="1"/>
  <c r="D36" i="1" s="1"/>
  <c r="D41" i="1"/>
  <c r="D39" i="1"/>
  <c r="D40" i="1"/>
  <c r="D42" i="1" l="1"/>
</calcChain>
</file>

<file path=xl/sharedStrings.xml><?xml version="1.0" encoding="utf-8"?>
<sst xmlns="http://schemas.openxmlformats.org/spreadsheetml/2006/main" count="69" uniqueCount="33">
  <si>
    <t>Quanto investir por mês ?</t>
  </si>
  <si>
    <t>Por Quantos Anos ?</t>
  </si>
  <si>
    <t>Taxa de Rendimento mensal ?</t>
  </si>
  <si>
    <t>Patrimônio acumulado ?</t>
  </si>
  <si>
    <t>Dividendos Mensais ?</t>
  </si>
  <si>
    <t>INVESTIMENTO MENSAL</t>
  </si>
  <si>
    <t>Quanto em 2 Anos ?</t>
  </si>
  <si>
    <t>Quanto em 5 Anos ?</t>
  </si>
  <si>
    <t>Quanto em 10 Anos ?</t>
  </si>
  <si>
    <t>Quanto em 20 Anos ?</t>
  </si>
  <si>
    <t>Quanto em 30 Anos ?</t>
  </si>
  <si>
    <t xml:space="preserve"> Cenários</t>
  </si>
  <si>
    <t>Dividendo</t>
  </si>
  <si>
    <t>Rendimento Carteira</t>
  </si>
  <si>
    <t>Salário</t>
  </si>
  <si>
    <t>CONFIGURAÇÕES</t>
  </si>
  <si>
    <t>Conservador</t>
  </si>
  <si>
    <t>Moderado</t>
  </si>
  <si>
    <t>Agressivo</t>
  </si>
  <si>
    <t>VALOR A SER INVESTIDO POR MÊS</t>
  </si>
  <si>
    <t>PERFIL</t>
  </si>
  <si>
    <t>TIPO DE FII</t>
  </si>
  <si>
    <t>Percentual Sugerido</t>
  </si>
  <si>
    <t>Valores</t>
  </si>
  <si>
    <t>PAPEL</t>
  </si>
  <si>
    <t>TIJOLO</t>
  </si>
  <si>
    <t>HÍBRIDOS</t>
  </si>
  <si>
    <t>FOFs</t>
  </si>
  <si>
    <t>DESENVOLVIMENTO</t>
  </si>
  <si>
    <t>HOTELARIAS</t>
  </si>
  <si>
    <t>%</t>
  </si>
  <si>
    <t>CHAVE</t>
  </si>
  <si>
    <t>Sugestão de Investimento (30%)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</si>
</sst>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R$&quot;\ #,##0.00;[Red]\-&quot;R$&quot;\ #,##0.00"/>
    <numFmt numFmtId="44" formatCode="_-&quot;R$&quot;\ * #,##0.00_-;\-&quot;R$&quot;\ * #,##0.00_-;_-&quot;R$&quot;\ * &quot;-&quot;??_-;_-@_-"/>
    <numFmt numFmtId="164" formatCode="&quot;R$&quot;\ #,##0.00"/>
  </numFmts>
  <fonts count="1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8"/>
      <color theme="0"/>
      <name val="Segoe UI Semibold"/>
      <family val="2"/>
    </font>
    <font>
      <sz val="11"/>
      <color theme="1"/>
      <name val="Segoe UI Semibold"/>
      <family val="2"/>
    </font>
    <font>
      <b/>
      <sz val="20"/>
      <color theme="0"/>
      <name val="Segoe UI Semibold"/>
      <family val="2"/>
    </font>
    <font>
      <b/>
      <sz val="12"/>
      <color theme="0"/>
      <name val="Segoe UI Semibold"/>
      <family val="2"/>
    </font>
    <font>
      <sz val="12"/>
      <color theme="1"/>
      <name val="Segoe UI"/>
      <family val="2"/>
    </font>
    <font>
      <sz val="11"/>
      <color theme="1"/>
      <name val="Segoe UI"/>
      <family val="2"/>
    </font>
    <font>
      <b/>
      <sz val="11"/>
      <color theme="1"/>
      <name val="Segoe UI"/>
      <family val="2"/>
    </font>
    <font>
      <b/>
      <sz val="12"/>
      <color theme="1"/>
      <name val="Segoe UI"/>
      <family val="2"/>
    </font>
    <font>
      <b/>
      <sz val="11"/>
      <color rgb="FF9C5700"/>
      <name val="Aptos Narrow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theme="6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</fills>
  <borders count="3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hair">
        <color theme="0" tint="-0.14996795556505021"/>
      </right>
      <top/>
      <bottom style="hair">
        <color theme="0" tint="-0.14996795556505021"/>
      </bottom>
      <diagonal/>
    </border>
    <border>
      <left style="hair">
        <color theme="0" tint="-0.14996795556505021"/>
      </left>
      <right style="hair">
        <color theme="0" tint="-0.14996795556505021"/>
      </right>
      <top/>
      <bottom style="hair">
        <color theme="0" tint="-0.14996795556505021"/>
      </bottom>
      <diagonal/>
    </border>
    <border>
      <left style="hair">
        <color theme="0" tint="-0.14996795556505021"/>
      </left>
      <right style="medium">
        <color indexed="64"/>
      </right>
      <top/>
      <bottom style="hair">
        <color theme="0" tint="-0.14996795556505021"/>
      </bottom>
      <diagonal/>
    </border>
    <border>
      <left style="medium">
        <color indexed="64"/>
      </left>
      <right style="hair">
        <color theme="0" tint="-0.14996795556505021"/>
      </right>
      <top style="hair">
        <color theme="0" tint="-0.14996795556505021"/>
      </top>
      <bottom style="hair">
        <color theme="0" tint="-0.14996795556505021"/>
      </bottom>
      <diagonal/>
    </border>
    <border>
      <left style="hair">
        <color theme="0" tint="-0.14996795556505021"/>
      </left>
      <right style="hair">
        <color theme="0" tint="-0.14996795556505021"/>
      </right>
      <top style="hair">
        <color theme="0" tint="-0.14996795556505021"/>
      </top>
      <bottom style="hair">
        <color theme="0" tint="-0.14996795556505021"/>
      </bottom>
      <diagonal/>
    </border>
    <border>
      <left style="hair">
        <color theme="0" tint="-0.14996795556505021"/>
      </left>
      <right style="medium">
        <color indexed="64"/>
      </right>
      <top style="hair">
        <color theme="0" tint="-0.14996795556505021"/>
      </top>
      <bottom style="hair">
        <color theme="0" tint="-0.14996795556505021"/>
      </bottom>
      <diagonal/>
    </border>
    <border>
      <left style="medium">
        <color indexed="64"/>
      </left>
      <right style="hair">
        <color theme="0" tint="-0.14996795556505021"/>
      </right>
      <top style="hair">
        <color theme="0" tint="-0.14996795556505021"/>
      </top>
      <bottom style="medium">
        <color indexed="64"/>
      </bottom>
      <diagonal/>
    </border>
    <border>
      <left style="hair">
        <color theme="0" tint="-0.14996795556505021"/>
      </left>
      <right style="hair">
        <color theme="0" tint="-0.14996795556505021"/>
      </right>
      <top style="hair">
        <color theme="0" tint="-0.14996795556505021"/>
      </top>
      <bottom style="medium">
        <color indexed="64"/>
      </bottom>
      <diagonal/>
    </border>
    <border>
      <left style="hair">
        <color theme="0" tint="-0.14996795556505021"/>
      </left>
      <right style="medium">
        <color indexed="64"/>
      </right>
      <top style="hair">
        <color theme="0" tint="-0.14996795556505021"/>
      </top>
      <bottom style="medium">
        <color indexed="64"/>
      </bottom>
      <diagonal/>
    </border>
    <border>
      <left style="medium">
        <color indexed="64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 style="medium">
        <color indexed="64"/>
      </right>
      <top/>
      <bottom style="thin">
        <color theme="0" tint="-0.34998626667073579"/>
      </bottom>
      <diagonal/>
    </border>
    <border>
      <left style="medium">
        <color indexed="64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medium">
        <color indexed="64"/>
      </right>
      <top style="thin">
        <color theme="0" tint="-0.34998626667073579"/>
      </top>
      <bottom style="thin">
        <color theme="0" tint="-0.34998626667073579"/>
      </bottom>
      <diagonal/>
    </border>
    <border>
      <left style="medium">
        <color indexed="64"/>
      </left>
      <right style="thin">
        <color theme="0" tint="-0.34998626667073579"/>
      </right>
      <top style="thin">
        <color theme="0" tint="-0.34998626667073579"/>
      </top>
      <bottom style="medium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medium">
        <color indexed="64"/>
      </bottom>
      <diagonal/>
    </border>
    <border>
      <left style="thin">
        <color theme="0" tint="-0.34998626667073579"/>
      </left>
      <right style="medium">
        <color indexed="64"/>
      </right>
      <top style="thin">
        <color theme="0" tint="-0.34998626667073579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medium">
        <color indexed="64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medium">
        <color indexed="64"/>
      </right>
      <top style="thin">
        <color theme="0" tint="-0.34998626667073579"/>
      </top>
      <bottom style="medium">
        <color indexed="64"/>
      </bottom>
      <diagonal/>
    </border>
    <border>
      <left/>
      <right/>
      <top style="thin">
        <color theme="0" tint="-0.34998626667073579"/>
      </top>
      <bottom style="medium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2" fillId="2" borderId="0" applyNumberFormat="0" applyBorder="0" applyAlignment="0" applyProtection="0"/>
  </cellStyleXfs>
  <cellXfs count="62">
    <xf numFmtId="0" fontId="0" fillId="0" borderId="0" xfId="0"/>
    <xf numFmtId="0" fontId="4" fillId="0" borderId="0" xfId="0" applyFont="1"/>
    <xf numFmtId="0" fontId="0" fillId="0" borderId="0" xfId="0" applyAlignment="1">
      <alignment horizontal="center"/>
    </xf>
    <xf numFmtId="9" fontId="0" fillId="0" borderId="0" xfId="0" applyNumberFormat="1"/>
    <xf numFmtId="9" fontId="0" fillId="0" borderId="0" xfId="0" applyNumberFormat="1" applyAlignment="1">
      <alignment horizontal="center"/>
    </xf>
    <xf numFmtId="0" fontId="5" fillId="5" borderId="1" xfId="0" applyFont="1" applyFill="1" applyBorder="1" applyAlignment="1">
      <alignment horizontal="right" vertical="center"/>
    </xf>
    <xf numFmtId="0" fontId="6" fillId="5" borderId="3" xfId="0" applyFont="1" applyFill="1" applyBorder="1" applyAlignment="1">
      <alignment horizontal="right"/>
    </xf>
    <xf numFmtId="0" fontId="5" fillId="5" borderId="2" xfId="0" applyFont="1" applyFill="1" applyBorder="1" applyAlignment="1">
      <alignment horizontal="right" vertical="center"/>
    </xf>
    <xf numFmtId="0" fontId="8" fillId="3" borderId="2" xfId="0" applyFont="1" applyFill="1" applyBorder="1" applyAlignment="1">
      <alignment horizontal="center" vertical="center"/>
    </xf>
    <xf numFmtId="0" fontId="9" fillId="4" borderId="5" xfId="0" applyFont="1" applyFill="1" applyBorder="1" applyAlignment="1">
      <alignment horizontal="left" indent="3"/>
    </xf>
    <xf numFmtId="164" fontId="10" fillId="4" borderId="6" xfId="0" applyNumberFormat="1" applyFont="1" applyFill="1" applyBorder="1" applyAlignment="1">
      <alignment horizontal="center"/>
    </xf>
    <xf numFmtId="164" fontId="10" fillId="4" borderId="7" xfId="0" applyNumberFormat="1" applyFont="1" applyFill="1" applyBorder="1" applyAlignment="1">
      <alignment horizontal="center"/>
    </xf>
    <xf numFmtId="0" fontId="9" fillId="4" borderId="8" xfId="0" applyFont="1" applyFill="1" applyBorder="1" applyAlignment="1">
      <alignment horizontal="left" indent="3"/>
    </xf>
    <xf numFmtId="164" fontId="10" fillId="4" borderId="9" xfId="0" applyNumberFormat="1" applyFont="1" applyFill="1" applyBorder="1" applyAlignment="1">
      <alignment horizontal="center"/>
    </xf>
    <xf numFmtId="164" fontId="10" fillId="4" borderId="10" xfId="0" applyNumberFormat="1" applyFont="1" applyFill="1" applyBorder="1" applyAlignment="1">
      <alignment horizontal="center"/>
    </xf>
    <xf numFmtId="0" fontId="9" fillId="4" borderId="11" xfId="0" applyFont="1" applyFill="1" applyBorder="1" applyAlignment="1">
      <alignment horizontal="left" indent="3"/>
    </xf>
    <xf numFmtId="164" fontId="10" fillId="4" borderId="12" xfId="0" applyNumberFormat="1" applyFont="1" applyFill="1" applyBorder="1" applyAlignment="1">
      <alignment horizontal="center"/>
    </xf>
    <xf numFmtId="164" fontId="10" fillId="4" borderId="13" xfId="0" applyNumberFormat="1" applyFont="1" applyFill="1" applyBorder="1" applyAlignment="1">
      <alignment horizontal="center"/>
    </xf>
    <xf numFmtId="164" fontId="11" fillId="0" borderId="16" xfId="0" applyNumberFormat="1" applyFont="1" applyBorder="1" applyAlignment="1">
      <alignment horizontal="center"/>
    </xf>
    <xf numFmtId="0" fontId="11" fillId="0" borderId="19" xfId="0" applyFont="1" applyBorder="1" applyAlignment="1">
      <alignment horizontal="center"/>
    </xf>
    <xf numFmtId="10" fontId="11" fillId="0" borderId="19" xfId="0" applyNumberFormat="1" applyFont="1" applyBorder="1" applyAlignment="1">
      <alignment horizontal="center"/>
    </xf>
    <xf numFmtId="8" fontId="11" fillId="4" borderId="19" xfId="0" applyNumberFormat="1" applyFont="1" applyFill="1" applyBorder="1" applyAlignment="1">
      <alignment horizontal="center"/>
    </xf>
    <xf numFmtId="8" fontId="11" fillId="4" borderId="22" xfId="0" applyNumberFormat="1" applyFont="1" applyFill="1" applyBorder="1" applyAlignment="1">
      <alignment horizontal="center"/>
    </xf>
    <xf numFmtId="164" fontId="10" fillId="0" borderId="16" xfId="1" applyNumberFormat="1" applyFont="1" applyBorder="1" applyAlignment="1">
      <alignment horizontal="center"/>
    </xf>
    <xf numFmtId="10" fontId="10" fillId="0" borderId="19" xfId="0" applyNumberFormat="1" applyFont="1" applyBorder="1" applyAlignment="1">
      <alignment horizontal="center"/>
    </xf>
    <xf numFmtId="164" fontId="10" fillId="6" borderId="22" xfId="0" applyNumberFormat="1" applyFont="1" applyFill="1" applyBorder="1" applyAlignment="1">
      <alignment horizontal="center"/>
    </xf>
    <xf numFmtId="0" fontId="0" fillId="0" borderId="4" xfId="0" applyBorder="1"/>
    <xf numFmtId="0" fontId="0" fillId="0" borderId="4" xfId="0" applyBorder="1" applyAlignment="1">
      <alignment horizontal="center"/>
    </xf>
    <xf numFmtId="9" fontId="0" fillId="0" borderId="4" xfId="0" applyNumberFormat="1" applyBorder="1" applyAlignment="1">
      <alignment horizontal="center"/>
    </xf>
    <xf numFmtId="0" fontId="4" fillId="8" borderId="0" xfId="0" applyFont="1" applyFill="1"/>
    <xf numFmtId="0" fontId="4" fillId="8" borderId="0" xfId="0" applyFont="1" applyFill="1" applyAlignment="1">
      <alignment horizontal="center"/>
    </xf>
    <xf numFmtId="0" fontId="3" fillId="7" borderId="1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23" xfId="0" applyFont="1" applyFill="1" applyBorder="1"/>
    <xf numFmtId="0" fontId="13" fillId="2" borderId="1" xfId="2" applyFont="1" applyBorder="1"/>
    <xf numFmtId="0" fontId="13" fillId="2" borderId="3" xfId="2" applyFont="1" applyBorder="1" applyAlignment="1">
      <alignment horizontal="center"/>
    </xf>
    <xf numFmtId="0" fontId="2" fillId="2" borderId="2" xfId="2" applyBorder="1"/>
    <xf numFmtId="0" fontId="3" fillId="6" borderId="23" xfId="0" applyFont="1" applyFill="1" applyBorder="1"/>
    <xf numFmtId="164" fontId="3" fillId="6" borderId="4" xfId="1" applyNumberFormat="1" applyFont="1" applyFill="1" applyBorder="1" applyAlignment="1">
      <alignment horizontal="center"/>
    </xf>
    <xf numFmtId="0" fontId="3" fillId="6" borderId="24" xfId="0" applyFont="1" applyFill="1" applyBorder="1"/>
    <xf numFmtId="0" fontId="10" fillId="0" borderId="25" xfId="0" applyFont="1" applyBorder="1" applyAlignment="1">
      <alignment horizontal="center"/>
    </xf>
    <xf numFmtId="0" fontId="0" fillId="9" borderId="0" xfId="0" applyFill="1"/>
    <xf numFmtId="0" fontId="0" fillId="9" borderId="0" xfId="0" applyFill="1" applyAlignment="1">
      <alignment horizontal="center"/>
    </xf>
    <xf numFmtId="9" fontId="0" fillId="9" borderId="0" xfId="0" applyNumberFormat="1" applyFill="1" applyAlignment="1">
      <alignment horizontal="center"/>
    </xf>
    <xf numFmtId="0" fontId="3" fillId="7" borderId="29" xfId="0" applyFont="1" applyFill="1" applyBorder="1"/>
    <xf numFmtId="164" fontId="3" fillId="7" borderId="28" xfId="0" applyNumberFormat="1" applyFont="1" applyFill="1" applyBorder="1" applyAlignment="1">
      <alignment horizontal="center"/>
    </xf>
    <xf numFmtId="0" fontId="9" fillId="6" borderId="14" xfId="0" applyFont="1" applyFill="1" applyBorder="1" applyAlignment="1">
      <alignment horizontal="left" indent="3"/>
    </xf>
    <xf numFmtId="0" fontId="9" fillId="6" borderId="15" xfId="0" applyFont="1" applyFill="1" applyBorder="1" applyAlignment="1">
      <alignment horizontal="left" indent="3"/>
    </xf>
    <xf numFmtId="0" fontId="9" fillId="6" borderId="17" xfId="0" applyFont="1" applyFill="1" applyBorder="1" applyAlignment="1">
      <alignment horizontal="left" indent="3"/>
    </xf>
    <xf numFmtId="0" fontId="9" fillId="6" borderId="18" xfId="0" applyFont="1" applyFill="1" applyBorder="1" applyAlignment="1">
      <alignment horizontal="left" indent="3"/>
    </xf>
    <xf numFmtId="0" fontId="9" fillId="6" borderId="20" xfId="0" applyFont="1" applyFill="1" applyBorder="1" applyAlignment="1">
      <alignment horizontal="left" indent="3"/>
    </xf>
    <xf numFmtId="0" fontId="9" fillId="6" borderId="21" xfId="0" applyFont="1" applyFill="1" applyBorder="1" applyAlignment="1">
      <alignment horizontal="left" indent="3"/>
    </xf>
    <xf numFmtId="0" fontId="12" fillId="4" borderId="17" xfId="0" applyFont="1" applyFill="1" applyBorder="1" applyAlignment="1">
      <alignment horizontal="left" indent="3"/>
    </xf>
    <xf numFmtId="0" fontId="12" fillId="4" borderId="18" xfId="0" applyFont="1" applyFill="1" applyBorder="1" applyAlignment="1">
      <alignment horizontal="left" indent="3"/>
    </xf>
    <xf numFmtId="0" fontId="7" fillId="3" borderId="1" xfId="0" applyFont="1" applyFill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/>
    </xf>
    <xf numFmtId="0" fontId="12" fillId="4" borderId="20" xfId="0" applyFont="1" applyFill="1" applyBorder="1" applyAlignment="1">
      <alignment horizontal="left" indent="3"/>
    </xf>
    <xf numFmtId="0" fontId="12" fillId="4" borderId="21" xfId="0" applyFont="1" applyFill="1" applyBorder="1" applyAlignment="1">
      <alignment horizontal="left" indent="3"/>
    </xf>
    <xf numFmtId="0" fontId="7" fillId="3" borderId="2" xfId="0" applyFont="1" applyFill="1" applyBorder="1" applyAlignment="1">
      <alignment horizontal="center" vertical="center"/>
    </xf>
    <xf numFmtId="164" fontId="10" fillId="0" borderId="26" xfId="0" applyNumberFormat="1" applyFont="1" applyBorder="1" applyAlignment="1">
      <alignment horizontal="center"/>
    </xf>
    <xf numFmtId="9" fontId="10" fillId="0" borderId="27" xfId="0" applyNumberFormat="1" applyFont="1" applyBorder="1" applyAlignment="1">
      <alignment horizontal="center"/>
    </xf>
  </cellXfs>
  <cellStyles count="3">
    <cellStyle name="Moeda" xfId="1" builtinId="4"/>
    <cellStyle name="Neutro" xfId="2" builtinId="28"/>
    <cellStyle name="Normal" xfId="0" builtinId="0"/>
  </cellStyles>
  <dxfs count="0"/>
  <tableStyles count="0" defaultTableStyle="TableStyleMedium2" defaultPivotStyle="PivotStyleLight16"/>
  <colors>
    <mruColors>
      <color rgb="FFE2BD7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tx>
            <c:strRef>
              <c:f>APP!$C$35</c:f>
              <c:strCache>
                <c:ptCount val="1"/>
                <c:pt idx="0">
                  <c:v>Percentual Sugerido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1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1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1">
                    <a:shade val="9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965E-438B-8C7D-727B1095E567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2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2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2">
                    <a:shade val="9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965E-438B-8C7D-727B1095E567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3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3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3">
                    <a:shade val="9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965E-438B-8C7D-727B1095E567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4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4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4">
                    <a:shade val="9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965E-438B-8C7D-727B1095E567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5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5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5">
                    <a:shade val="9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965E-438B-8C7D-727B1095E567}"/>
              </c:ext>
            </c:extLst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6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6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6">
                    <a:shade val="9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965E-438B-8C7D-727B1095E56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APP!$B$36:$B$41</c:f>
              <c:strCache>
                <c:ptCount val="6"/>
                <c:pt idx="0">
                  <c:v>PAPEL</c:v>
                </c:pt>
                <c:pt idx="1">
                  <c:v>TIJOLO</c:v>
                </c:pt>
                <c:pt idx="2">
                  <c:v>HÍBRIDOS</c:v>
                </c:pt>
                <c:pt idx="3">
                  <c:v>FOFs</c:v>
                </c:pt>
                <c:pt idx="4">
                  <c:v>DESENVOLVIMENTO</c:v>
                </c:pt>
                <c:pt idx="5">
                  <c:v>HOTELARIAS</c:v>
                </c:pt>
              </c:strCache>
            </c:strRef>
          </c:cat>
          <c:val>
            <c:numRef>
              <c:f>APP!$C$36:$C$41</c:f>
              <c:numCache>
                <c:formatCode>0%</c:formatCode>
                <c:ptCount val="6"/>
                <c:pt idx="0">
                  <c:v>0.32</c:v>
                </c:pt>
                <c:pt idx="1">
                  <c:v>0.35</c:v>
                </c:pt>
                <c:pt idx="2">
                  <c:v>0.08</c:v>
                </c:pt>
                <c:pt idx="3">
                  <c:v>0.05</c:v>
                </c:pt>
                <c:pt idx="4">
                  <c:v>0.1</c:v>
                </c:pt>
                <c:pt idx="5">
                  <c:v>0.1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29-4386-8C2E-9F990CFD8A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4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/>
    <cs:fillRef idx="2">
      <cs:styleClr val="auto"/>
    </cs:fillRef>
    <cs:effectRef idx="1"/>
    <cs:fontRef idx="minor">
      <a:schemeClr val="dk1"/>
    </cs:fontRef>
    <cs:spPr/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199066</xdr:colOff>
      <xdr:row>1</xdr:row>
      <xdr:rowOff>4402</xdr:rowOff>
    </xdr:from>
    <xdr:to>
      <xdr:col>5</xdr:col>
      <xdr:colOff>39273</xdr:colOff>
      <xdr:row>9</xdr:row>
      <xdr:rowOff>25401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A06C0C26-EE62-D9A1-8A3D-A7E61EE75DFF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b="9606"/>
        <a:stretch/>
      </xdr:blipFill>
      <xdr:spPr>
        <a:xfrm>
          <a:off x="199066" y="182563"/>
          <a:ext cx="6008059" cy="1485901"/>
        </a:xfrm>
        <a:prstGeom prst="rect">
          <a:avLst/>
        </a:prstGeom>
      </xdr:spPr>
    </xdr:pic>
    <xdr:clientData/>
  </xdr:twoCellAnchor>
  <xdr:twoCellAnchor>
    <xdr:from>
      <xdr:col>1</xdr:col>
      <xdr:colOff>529958</xdr:colOff>
      <xdr:row>42</xdr:row>
      <xdr:rowOff>120383</xdr:rowOff>
    </xdr:from>
    <xdr:to>
      <xdr:col>3</xdr:col>
      <xdr:colOff>851648</xdr:colOff>
      <xdr:row>58</xdr:row>
      <xdr:rowOff>112059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C4B8E7C0-F2C3-7792-03A6-894CBA5335F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A0B514-4758-45B7-9E7C-BEE6ADE55698}">
  <dimension ref="A10:H57"/>
  <sheetViews>
    <sheetView showGridLines="0" tabSelected="1" zoomScale="85" zoomScaleNormal="85" workbookViewId="0">
      <selection activeCell="G37" sqref="G37"/>
    </sheetView>
  </sheetViews>
  <sheetFormatPr defaultColWidth="0" defaultRowHeight="14.25"/>
  <cols>
    <col min="1" max="1" width="5.5" customWidth="1"/>
    <col min="2" max="2" width="46.875" customWidth="1"/>
    <col min="3" max="3" width="17.5" bestFit="1" customWidth="1"/>
    <col min="4" max="4" width="15" customWidth="1"/>
    <col min="5" max="8" width="3.5" customWidth="1"/>
    <col min="9" max="16384" width="8.75" hidden="1"/>
  </cols>
  <sheetData>
    <row r="10" spans="2:4" ht="15" thickBot="1"/>
    <row r="11" spans="2:4" ht="26.25">
      <c r="B11" s="5" t="s">
        <v>15</v>
      </c>
      <c r="C11" s="6"/>
      <c r="D11" s="7"/>
    </row>
    <row r="12" spans="2:4" ht="17.25">
      <c r="B12" s="47" t="s">
        <v>14</v>
      </c>
      <c r="C12" s="48"/>
      <c r="D12" s="23">
        <v>2000</v>
      </c>
    </row>
    <row r="13" spans="2:4" ht="17.25">
      <c r="B13" s="49" t="s">
        <v>13</v>
      </c>
      <c r="C13" s="50"/>
      <c r="D13" s="24">
        <v>6.0000000000000001E-3</v>
      </c>
    </row>
    <row r="14" spans="2:4" ht="18" thickBot="1">
      <c r="B14" s="51" t="s">
        <v>32</v>
      </c>
      <c r="C14" s="52"/>
      <c r="D14" s="25">
        <f>D12*30%</f>
        <v>600</v>
      </c>
    </row>
    <row r="15" spans="2:4" ht="15" thickBot="1"/>
    <row r="16" spans="2:4" ht="28.5" customHeight="1">
      <c r="B16" s="55" t="s">
        <v>5</v>
      </c>
      <c r="C16" s="56"/>
      <c r="D16" s="59"/>
    </row>
    <row r="17" spans="1:6" ht="17.25">
      <c r="B17" s="47" t="s">
        <v>0</v>
      </c>
      <c r="C17" s="48"/>
      <c r="D17" s="18">
        <v>200</v>
      </c>
    </row>
    <row r="18" spans="1:6" ht="17.25">
      <c r="B18" s="49" t="s">
        <v>1</v>
      </c>
      <c r="C18" s="50"/>
      <c r="D18" s="19">
        <v>5</v>
      </c>
    </row>
    <row r="19" spans="1:6" ht="17.25">
      <c r="B19" s="49" t="s">
        <v>2</v>
      </c>
      <c r="C19" s="50"/>
      <c r="D19" s="20">
        <v>1.0789999999999999E-2</v>
      </c>
    </row>
    <row r="20" spans="1:6" ht="17.25">
      <c r="B20" s="53" t="s">
        <v>3</v>
      </c>
      <c r="C20" s="54"/>
      <c r="D20" s="21">
        <f>FV(taxa_mensal,qtd_anos*12,aporte*-1)</f>
        <v>16755.382799697527</v>
      </c>
    </row>
    <row r="21" spans="1:6" ht="18" thickBot="1">
      <c r="B21" s="57" t="s">
        <v>4</v>
      </c>
      <c r="C21" s="58"/>
      <c r="D21" s="22">
        <f>patrimonio*rendimento_carteira</f>
        <v>100.53229679818516</v>
      </c>
      <c r="F21" s="3"/>
    </row>
    <row r="22" spans="1:6" ht="15" thickBot="1"/>
    <row r="23" spans="1:6" ht="30.75">
      <c r="B23" s="55" t="s">
        <v>11</v>
      </c>
      <c r="C23" s="56"/>
      <c r="D23" s="8" t="s">
        <v>12</v>
      </c>
    </row>
    <row r="24" spans="1:6" ht="17.25">
      <c r="A24" s="1">
        <v>2</v>
      </c>
      <c r="B24" s="9" t="s">
        <v>6</v>
      </c>
      <c r="C24" s="10">
        <f>FV($D$19,$A24*12,$D$17*-1)</f>
        <v>5445.5254595290435</v>
      </c>
      <c r="D24" s="11">
        <f>C24*rendimento_carteira</f>
        <v>32.673152757174265</v>
      </c>
    </row>
    <row r="25" spans="1:6" ht="17.25">
      <c r="A25" s="1">
        <v>5</v>
      </c>
      <c r="B25" s="12" t="s">
        <v>7</v>
      </c>
      <c r="C25" s="13">
        <f>FV($D$19,$A25*12,$D$17*-1)</f>
        <v>16755.382799697527</v>
      </c>
      <c r="D25" s="14">
        <f>C25*rendimento_carteira</f>
        <v>100.53229679818516</v>
      </c>
    </row>
    <row r="26" spans="1:6" ht="17.25">
      <c r="A26" s="1">
        <v>10</v>
      </c>
      <c r="B26" s="12" t="s">
        <v>8</v>
      </c>
      <c r="C26" s="13">
        <f>FV($D$19,$A26*12,$D$17*-1)</f>
        <v>48656.842506034438</v>
      </c>
      <c r="D26" s="14">
        <f>C26*rendimento_carteira</f>
        <v>291.94105503620665</v>
      </c>
    </row>
    <row r="27" spans="1:6" ht="17.25">
      <c r="A27" s="1">
        <v>20</v>
      </c>
      <c r="B27" s="12" t="s">
        <v>9</v>
      </c>
      <c r="C27" s="13">
        <f>FV($D$19,$A27*12,$D$17*-1)</f>
        <v>225039.68001941612</v>
      </c>
      <c r="D27" s="14">
        <f>C27*rendimento_carteira</f>
        <v>1350.2380801164968</v>
      </c>
    </row>
    <row r="28" spans="1:6" ht="18" thickBot="1">
      <c r="A28" s="1">
        <v>30</v>
      </c>
      <c r="B28" s="15" t="s">
        <v>10</v>
      </c>
      <c r="C28" s="16">
        <f>FV($D$19,$A28*12,$D$17*-1)</f>
        <v>864433.93100094295</v>
      </c>
      <c r="D28" s="17">
        <f>C28*rendimento_carteira</f>
        <v>5186.6035860056581</v>
      </c>
    </row>
    <row r="31" spans="1:6" ht="15" thickBot="1"/>
    <row r="32" spans="1:6" ht="15">
      <c r="B32" s="35" t="s">
        <v>20</v>
      </c>
      <c r="C32" s="36" t="s">
        <v>17</v>
      </c>
      <c r="D32" s="37"/>
    </row>
    <row r="33" spans="2:4" ht="15.75" thickBot="1">
      <c r="B33" s="38" t="s">
        <v>19</v>
      </c>
      <c r="C33" s="39">
        <f>aporte</f>
        <v>200</v>
      </c>
      <c r="D33" s="40"/>
    </row>
    <row r="34" spans="2:4" ht="15" thickBot="1"/>
    <row r="35" spans="2:4" ht="15">
      <c r="B35" s="31" t="s">
        <v>21</v>
      </c>
      <c r="C35" s="32" t="s">
        <v>22</v>
      </c>
      <c r="D35" s="33" t="s">
        <v>23</v>
      </c>
    </row>
    <row r="36" spans="2:4" ht="16.5">
      <c r="B36" s="41" t="s">
        <v>24</v>
      </c>
      <c r="C36" s="61">
        <f>VLOOKUP($C$32&amp;"-"&amp;B36,Planilha2!$A:$D,4,FALSE)</f>
        <v>0.32</v>
      </c>
      <c r="D36" s="60">
        <f>C36*$C$33</f>
        <v>64</v>
      </c>
    </row>
    <row r="37" spans="2:4" ht="16.5">
      <c r="B37" s="41" t="s">
        <v>25</v>
      </c>
      <c r="C37" s="61">
        <f>VLOOKUP($C$32&amp;"-"&amp;B37,Planilha2!$A:$D,4,FALSE)</f>
        <v>0.35</v>
      </c>
      <c r="D37" s="60">
        <f t="shared" ref="D37:D41" si="0">C37*$C$33</f>
        <v>70</v>
      </c>
    </row>
    <row r="38" spans="2:4" ht="16.5">
      <c r="B38" s="41" t="s">
        <v>26</v>
      </c>
      <c r="C38" s="61">
        <f>VLOOKUP($C$32&amp;"-"&amp;B38,Planilha2!$A:$D,4,FALSE)</f>
        <v>0.08</v>
      </c>
      <c r="D38" s="60">
        <f t="shared" si="0"/>
        <v>16</v>
      </c>
    </row>
    <row r="39" spans="2:4" ht="16.5">
      <c r="B39" s="41" t="s">
        <v>27</v>
      </c>
      <c r="C39" s="61">
        <f>VLOOKUP($C$32&amp;"-"&amp;B39,Planilha2!$A:$D,4,FALSE)</f>
        <v>0.05</v>
      </c>
      <c r="D39" s="60">
        <f t="shared" si="0"/>
        <v>10</v>
      </c>
    </row>
    <row r="40" spans="2:4" ht="16.5">
      <c r="B40" s="41" t="s">
        <v>28</v>
      </c>
      <c r="C40" s="61">
        <f>VLOOKUP($C$32&amp;"-"&amp;B40,Planilha2!$A:$D,4,FALSE)</f>
        <v>0.1</v>
      </c>
      <c r="D40" s="60">
        <f t="shared" si="0"/>
        <v>20</v>
      </c>
    </row>
    <row r="41" spans="2:4" ht="16.5">
      <c r="B41" s="41" t="s">
        <v>29</v>
      </c>
      <c r="C41" s="61">
        <f>VLOOKUP($C$32&amp;"-"&amp;B41,Planilha2!$A:$D,4,FALSE)</f>
        <v>0.1</v>
      </c>
      <c r="D41" s="60">
        <f t="shared" si="0"/>
        <v>20</v>
      </c>
    </row>
    <row r="42" spans="2:4" ht="15.75" thickBot="1">
      <c r="B42" s="34"/>
      <c r="C42" s="45"/>
      <c r="D42" s="46">
        <f>SUM(D36:D41)</f>
        <v>200</v>
      </c>
    </row>
    <row r="49" customFormat="1"/>
    <row r="50" customFormat="1"/>
    <row r="51" customFormat="1"/>
    <row r="52" customFormat="1"/>
    <row r="53" customFormat="1"/>
    <row r="54" customFormat="1"/>
    <row r="55" customFormat="1"/>
    <row r="56" customFormat="1"/>
    <row r="57" customFormat="1"/>
  </sheetData>
  <mergeCells count="10">
    <mergeCell ref="B12:C12"/>
    <mergeCell ref="B13:C13"/>
    <mergeCell ref="B14:C14"/>
    <mergeCell ref="B20:C20"/>
    <mergeCell ref="B23:C23"/>
    <mergeCell ref="B17:C17"/>
    <mergeCell ref="B18:C18"/>
    <mergeCell ref="B19:C19"/>
    <mergeCell ref="B21:C21"/>
    <mergeCell ref="B16:D16"/>
  </mergeCells>
  <dataValidations count="1">
    <dataValidation type="list" allowBlank="1" showInputMessage="1" showErrorMessage="1" sqref="C32" xr:uid="{25FB6157-0D6F-4288-BDF6-1C9F16279EC9}">
      <formula1>"Conservador, Moderado, Agressivo"</formula1>
    </dataValidation>
  </dataValidations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03A6F9-1A8F-494B-BC52-78E26FF12D4E}">
  <dimension ref="A2:D21"/>
  <sheetViews>
    <sheetView showGridLines="0" zoomScale="115" zoomScaleNormal="115" workbookViewId="0">
      <selection activeCell="H15" sqref="H15"/>
    </sheetView>
  </sheetViews>
  <sheetFormatPr defaultRowHeight="14.25"/>
  <cols>
    <col min="1" max="1" width="29.125" bestFit="1" customWidth="1"/>
    <col min="2" max="2" width="11.5" bestFit="1" customWidth="1"/>
    <col min="3" max="3" width="17.75" bestFit="1" customWidth="1"/>
    <col min="7" max="7" width="15.375" bestFit="1" customWidth="1"/>
  </cols>
  <sheetData>
    <row r="2" spans="1:4">
      <c r="A2" s="29" t="s">
        <v>31</v>
      </c>
      <c r="B2" s="29" t="s">
        <v>20</v>
      </c>
      <c r="C2" s="30" t="s">
        <v>21</v>
      </c>
      <c r="D2" s="30" t="s">
        <v>30</v>
      </c>
    </row>
    <row r="3" spans="1:4">
      <c r="A3" t="str">
        <f>B3&amp;"-"&amp;C3</f>
        <v>Conservador-PAPEL</v>
      </c>
      <c r="B3" t="s">
        <v>16</v>
      </c>
      <c r="C3" s="2" t="s">
        <v>24</v>
      </c>
      <c r="D3" s="4">
        <v>0.3</v>
      </c>
    </row>
    <row r="4" spans="1:4">
      <c r="A4" t="str">
        <f t="shared" ref="A4:A20" si="0">B4&amp;"-"&amp;C4</f>
        <v>Conservador-TIJOLO</v>
      </c>
      <c r="B4" t="s">
        <v>16</v>
      </c>
      <c r="C4" s="2" t="s">
        <v>25</v>
      </c>
      <c r="D4" s="4">
        <v>0.5</v>
      </c>
    </row>
    <row r="5" spans="1:4">
      <c r="A5" t="str">
        <f t="shared" si="0"/>
        <v>Conservador-HÍBRIDOS</v>
      </c>
      <c r="B5" t="s">
        <v>16</v>
      </c>
      <c r="C5" s="2" t="s">
        <v>26</v>
      </c>
      <c r="D5" s="4">
        <v>0.1</v>
      </c>
    </row>
    <row r="6" spans="1:4">
      <c r="A6" t="str">
        <f t="shared" si="0"/>
        <v>Conservador-FOFs</v>
      </c>
      <c r="B6" t="s">
        <v>16</v>
      </c>
      <c r="C6" s="2" t="s">
        <v>27</v>
      </c>
      <c r="D6" s="4">
        <v>0.1</v>
      </c>
    </row>
    <row r="7" spans="1:4">
      <c r="A7" t="str">
        <f t="shared" si="0"/>
        <v>Conservador-DESENVOLVIMENTO</v>
      </c>
      <c r="B7" t="s">
        <v>16</v>
      </c>
      <c r="C7" s="2" t="s">
        <v>28</v>
      </c>
      <c r="D7" s="4">
        <v>0</v>
      </c>
    </row>
    <row r="8" spans="1:4" ht="15" thickBot="1">
      <c r="A8" s="26" t="str">
        <f t="shared" si="0"/>
        <v>Conservador-HOTELARIAS</v>
      </c>
      <c r="B8" s="26" t="s">
        <v>16</v>
      </c>
      <c r="C8" s="27" t="s">
        <v>29</v>
      </c>
      <c r="D8" s="28">
        <v>0</v>
      </c>
    </row>
    <row r="9" spans="1:4">
      <c r="A9" t="str">
        <f t="shared" si="0"/>
        <v>Moderado-PAPEL</v>
      </c>
      <c r="B9" t="s">
        <v>17</v>
      </c>
      <c r="C9" s="2" t="s">
        <v>24</v>
      </c>
      <c r="D9" s="4">
        <v>0.32</v>
      </c>
    </row>
    <row r="10" spans="1:4">
      <c r="A10" s="42" t="str">
        <f t="shared" si="0"/>
        <v>Moderado-TIJOLO</v>
      </c>
      <c r="B10" s="42" t="s">
        <v>17</v>
      </c>
      <c r="C10" s="43" t="s">
        <v>25</v>
      </c>
      <c r="D10" s="44">
        <v>0.35</v>
      </c>
    </row>
    <row r="11" spans="1:4">
      <c r="A11" t="str">
        <f t="shared" si="0"/>
        <v>Moderado-HÍBRIDOS</v>
      </c>
      <c r="B11" t="s">
        <v>17</v>
      </c>
      <c r="C11" s="2" t="s">
        <v>26</v>
      </c>
      <c r="D11" s="4">
        <v>0.08</v>
      </c>
    </row>
    <row r="12" spans="1:4">
      <c r="A12" t="str">
        <f t="shared" si="0"/>
        <v>Moderado-FOFs</v>
      </c>
      <c r="B12" t="s">
        <v>17</v>
      </c>
      <c r="C12" s="2" t="s">
        <v>27</v>
      </c>
      <c r="D12" s="4">
        <v>0.05</v>
      </c>
    </row>
    <row r="13" spans="1:4">
      <c r="A13" t="str">
        <f t="shared" si="0"/>
        <v>Moderado-DESENVOLVIMENTO</v>
      </c>
      <c r="B13" t="s">
        <v>17</v>
      </c>
      <c r="C13" s="2" t="s">
        <v>28</v>
      </c>
      <c r="D13" s="4">
        <v>0.1</v>
      </c>
    </row>
    <row r="14" spans="1:4" ht="15" thickBot="1">
      <c r="A14" s="26" t="str">
        <f t="shared" si="0"/>
        <v>Moderado-HOTELARIAS</v>
      </c>
      <c r="B14" s="26" t="s">
        <v>17</v>
      </c>
      <c r="C14" s="27" t="s">
        <v>29</v>
      </c>
      <c r="D14" s="28">
        <v>0.1</v>
      </c>
    </row>
    <row r="15" spans="1:4">
      <c r="A15" t="str">
        <f t="shared" si="0"/>
        <v>Agressivo-PAPEL</v>
      </c>
      <c r="B15" t="s">
        <v>18</v>
      </c>
      <c r="C15" s="2" t="s">
        <v>24</v>
      </c>
      <c r="D15" s="4">
        <v>0.5</v>
      </c>
    </row>
    <row r="16" spans="1:4">
      <c r="A16" t="str">
        <f t="shared" si="0"/>
        <v>Agressivo-TIJOLO</v>
      </c>
      <c r="B16" t="s">
        <v>18</v>
      </c>
      <c r="C16" s="2" t="s">
        <v>25</v>
      </c>
      <c r="D16" s="4">
        <v>0.1</v>
      </c>
    </row>
    <row r="17" spans="1:4">
      <c r="A17" t="str">
        <f t="shared" si="0"/>
        <v>Agressivo-HÍBRIDOS</v>
      </c>
      <c r="B17" t="s">
        <v>18</v>
      </c>
      <c r="C17" s="2" t="s">
        <v>26</v>
      </c>
      <c r="D17" s="4">
        <v>0.05</v>
      </c>
    </row>
    <row r="18" spans="1:4">
      <c r="A18" t="str">
        <f t="shared" si="0"/>
        <v>Agressivo-FOFs</v>
      </c>
      <c r="B18" t="s">
        <v>18</v>
      </c>
      <c r="C18" s="2" t="s">
        <v>27</v>
      </c>
      <c r="D18" s="4">
        <v>0.05</v>
      </c>
    </row>
    <row r="19" spans="1:4">
      <c r="A19" t="str">
        <f t="shared" si="0"/>
        <v>Agressivo-DESENVOLVIMENTO</v>
      </c>
      <c r="B19" t="s">
        <v>18</v>
      </c>
      <c r="C19" s="2" t="s">
        <v>28</v>
      </c>
      <c r="D19" s="4">
        <v>0.2</v>
      </c>
    </row>
    <row r="20" spans="1:4">
      <c r="A20" t="str">
        <f t="shared" si="0"/>
        <v>Agressivo-HOTELARIAS</v>
      </c>
      <c r="B20" t="s">
        <v>18</v>
      </c>
      <c r="C20" s="2" t="s">
        <v>29</v>
      </c>
      <c r="D20" s="4">
        <v>0.1</v>
      </c>
    </row>
    <row r="21" spans="1:4">
      <c r="D21" s="2"/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51b35d3-0456-4d6a-bc2f-da927e91d158">
      <Terms xmlns="http://schemas.microsoft.com/office/infopath/2007/PartnerControls"/>
    </lcf76f155ced4ddcb4097134ff3c332f>
    <TaxCatchAll xmlns="19483571-f922-4e8e-9c1c-26f0a225213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1E48B58A68BE64E9120D347E3E06B3A" ma:contentTypeVersion="19" ma:contentTypeDescription="Crie um novo documento." ma:contentTypeScope="" ma:versionID="2f90046ec77328b7f86417d2e03b3d33">
  <xsd:schema xmlns:xsd="http://www.w3.org/2001/XMLSchema" xmlns:xs="http://www.w3.org/2001/XMLSchema" xmlns:p="http://schemas.microsoft.com/office/2006/metadata/properties" xmlns:ns2="851b35d3-0456-4d6a-bc2f-da927e91d158" xmlns:ns3="19483571-f922-4e8e-9c1c-26f0a2252132" targetNamespace="http://schemas.microsoft.com/office/2006/metadata/properties" ma:root="true" ma:fieldsID="c815006ac2d4f05ee97fdd57e40d8e38" ns2:_="" ns3:_="">
    <xsd:import namespace="851b35d3-0456-4d6a-bc2f-da927e91d158"/>
    <xsd:import namespace="19483571-f922-4e8e-9c1c-26f0a225213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51b35d3-0456-4d6a-bc2f-da927e91d15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20" nillable="true" ma:taxonomy="true" ma:internalName="lcf76f155ced4ddcb4097134ff3c332f" ma:taxonomyFieldName="MediaServiceImageTags" ma:displayName="Marcações de imagem" ma:readOnly="false" ma:fieldId="{5cf76f15-5ced-4ddc-b409-7134ff3c332f}" ma:taxonomyMulti="true" ma:sspId="44a7fbd4-9dae-4371-bb8c-f658cfc5cb1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3" nillable="true" ma:displayName="Location" ma:internalName="MediaServiceLocation" ma:readOnly="true">
      <xsd:simpleType>
        <xsd:restriction base="dms:Text"/>
      </xsd:simple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9483571-f922-4e8e-9c1c-26f0a2252132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1" nillable="true" ma:displayName="Taxonomy Catch All Column" ma:hidden="true" ma:list="{a4ca5b0e-bf34-4fb2-bc21-1657b419a556}" ma:internalName="TaxCatchAll" ma:showField="CatchAllData" ma:web="19483571-f922-4e8e-9c1c-26f0a225213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4D0D6DD-E6DB-45C8-8F90-E314C090C085}">
  <ds:schemaRefs>
    <ds:schemaRef ds:uri="http://schemas.microsoft.com/office/2006/metadata/properties"/>
    <ds:schemaRef ds:uri="http://schemas.microsoft.com/office/infopath/2007/PartnerControls"/>
    <ds:schemaRef ds:uri="851b35d3-0456-4d6a-bc2f-da927e91d158"/>
    <ds:schemaRef ds:uri="19483571-f922-4e8e-9c1c-26f0a2252132"/>
  </ds:schemaRefs>
</ds:datastoreItem>
</file>

<file path=customXml/itemProps2.xml><?xml version="1.0" encoding="utf-8"?>
<ds:datastoreItem xmlns:ds="http://schemas.openxmlformats.org/officeDocument/2006/customXml" ds:itemID="{62BBC473-00BC-48E4-BFA3-FE8E2B1F001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51b35d3-0456-4d6a-bc2f-da927e91d158"/>
    <ds:schemaRef ds:uri="19483571-f922-4e8e-9c1c-26f0a225213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32110DE-3D77-470C-9CED-65521C30E3F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7</vt:i4>
      </vt:variant>
    </vt:vector>
  </HeadingPairs>
  <TitlesOfParts>
    <vt:vector size="9" baseType="lpstr">
      <vt:lpstr>APP</vt:lpstr>
      <vt:lpstr>Planilha2</vt:lpstr>
      <vt:lpstr>aporte</vt:lpstr>
      <vt:lpstr>patrimonio</vt:lpstr>
      <vt:lpstr>qtd_anos</vt:lpstr>
      <vt:lpstr>rendimento_carteira</vt:lpstr>
      <vt:lpstr>salario</vt:lpstr>
      <vt:lpstr>sugestao_investimento</vt:lpstr>
      <vt:lpstr>taxa_mensal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Felipe Silva Aguiar</dc:creator>
  <cp:lastModifiedBy>USER</cp:lastModifiedBy>
  <dcterms:created xsi:type="dcterms:W3CDTF">2025-04-16T18:38:03Z</dcterms:created>
  <dcterms:modified xsi:type="dcterms:W3CDTF">2026-09-24T00:54:01Z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0x01010001E48B58A68BE64E9120D347E3E06B3A</vt:lpwstr>
  </property>
</Properties>
</file>