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5984334-4D8A-483E-B329-8C239B428739}" xr6:coauthVersionLast="47" xr6:coauthVersionMax="47" xr10:uidLastSave="{00000000-0000-0000-0000-000000000000}"/>
  <bookViews>
    <workbookView xWindow="390" yWindow="390" windowWidth="14610" windowHeight="1548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40" i="1" s="1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C39" i="1" l="1"/>
  <c r="C41" i="1"/>
  <c r="C38" i="1"/>
  <c r="D38" i="1" s="1"/>
  <c r="C37" i="1"/>
  <c r="D37" i="1" s="1"/>
  <c r="C36" i="1"/>
  <c r="D36" i="1" s="1"/>
  <c r="D41" i="1"/>
  <c r="D39" i="1"/>
  <c r="D40" i="1"/>
  <c r="D42" i="1" l="1"/>
</calcChain>
</file>

<file path=xl/sharedStrings.xml><?xml version="1.0" encoding="utf-8"?>
<sst xmlns="http://schemas.openxmlformats.org/spreadsheetml/2006/main" count="69" uniqueCount="33">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</sst>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rgb="FF9C57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2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4" fillId="8" borderId="0" xfId="0" applyFont="1" applyFill="1"/>
    <xf numFmtId="0" fontId="4" fillId="8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  <xf numFmtId="0" fontId="3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23" xfId="0" applyFont="1" applyFill="1" applyBorder="1"/>
    <xf numFmtId="0" fontId="13" fillId="2" borderId="1" xfId="2" applyFont="1" applyBorder="1"/>
    <xf numFmtId="0" fontId="13" fillId="2" borderId="3" xfId="2" applyFont="1" applyBorder="1" applyAlignment="1">
      <alignment horizontal="center"/>
    </xf>
    <xf numFmtId="0" fontId="2" fillId="2" borderId="2" xfId="2" applyBorder="1"/>
    <xf numFmtId="0" fontId="3" fillId="6" borderId="23" xfId="0" applyFont="1" applyFill="1" applyBorder="1"/>
    <xf numFmtId="164" fontId="3" fillId="6" borderId="4" xfId="1" applyNumberFormat="1" applyFont="1" applyFill="1" applyBorder="1" applyAlignment="1">
      <alignment horizontal="center"/>
    </xf>
    <xf numFmtId="0" fontId="3" fillId="6" borderId="24" xfId="0" applyFont="1" applyFill="1" applyBorder="1"/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9" fontId="0" fillId="9" borderId="0" xfId="0" applyNumberFormat="1" applyFill="1" applyAlignment="1">
      <alignment horizontal="center"/>
    </xf>
    <xf numFmtId="0" fontId="10" fillId="0" borderId="27" xfId="0" applyFont="1" applyBorder="1" applyAlignment="1">
      <alignment horizontal="center"/>
    </xf>
    <xf numFmtId="0" fontId="3" fillId="7" borderId="29" xfId="0" applyFont="1" applyFill="1" applyBorder="1"/>
    <xf numFmtId="164" fontId="3" fillId="7" borderId="28" xfId="0" applyNumberFormat="1" applyFont="1" applyFill="1" applyBorder="1" applyAlignment="1">
      <alignment horizont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65E-438B-8C7D-727B1095E56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5E-438B-8C7D-727B1095E56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65E-438B-8C7D-727B1095E56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65E-438B-8C7D-727B1095E56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65E-438B-8C7D-727B1095E56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965E-438B-8C7D-727B1095E5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General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1</xdr:row>
      <xdr:rowOff>4402</xdr:rowOff>
    </xdr:from>
    <xdr:to>
      <xdr:col>5</xdr:col>
      <xdr:colOff>39273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1</xdr:col>
      <xdr:colOff>529958</xdr:colOff>
      <xdr:row>42</xdr:row>
      <xdr:rowOff>120383</xdr:rowOff>
    </xdr:from>
    <xdr:to>
      <xdr:col>3</xdr:col>
      <xdr:colOff>851648</xdr:colOff>
      <xdr:row>58</xdr:row>
      <xdr:rowOff>112059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zoomScale="85" zoomScaleNormal="85" workbookViewId="0">
      <selection activeCell="E55" sqref="E55"/>
    </sheetView>
  </sheetViews>
  <sheetFormatPr defaultColWidth="0" defaultRowHeight="14.25"/>
  <cols>
    <col min="1" max="1" width="5.5" customWidth="1"/>
    <col min="2" max="2" width="46.875" customWidth="1"/>
    <col min="3" max="3" width="17.5" bestFit="1" customWidth="1"/>
    <col min="4" max="4" width="15" customWidth="1"/>
    <col min="5" max="8" width="3.5" customWidth="1"/>
    <col min="9" max="16384" width="8.75" hidden="1"/>
  </cols>
  <sheetData>
    <row r="10" spans="2:4" ht="15" thickBot="1"/>
    <row r="11" spans="2:4" ht="26.25">
      <c r="B11" s="5" t="s">
        <v>15</v>
      </c>
      <c r="C11" s="6"/>
      <c r="D11" s="7"/>
    </row>
    <row r="12" spans="2:4" ht="17.25">
      <c r="B12" s="31" t="s">
        <v>14</v>
      </c>
      <c r="C12" s="32"/>
      <c r="D12" s="23">
        <v>2000</v>
      </c>
    </row>
    <row r="13" spans="2:4" ht="17.25">
      <c r="B13" s="33" t="s">
        <v>13</v>
      </c>
      <c r="C13" s="34"/>
      <c r="D13" s="24">
        <v>6.0000000000000001E-3</v>
      </c>
    </row>
    <row r="14" spans="2:4" ht="18" thickBot="1">
      <c r="B14" s="40" t="s">
        <v>32</v>
      </c>
      <c r="C14" s="41"/>
      <c r="D14" s="25">
        <f>D12*30%</f>
        <v>600</v>
      </c>
    </row>
    <row r="15" spans="2:4" ht="15" thickBot="1"/>
    <row r="16" spans="2:4" ht="28.5" customHeight="1">
      <c r="B16" s="37" t="s">
        <v>5</v>
      </c>
      <c r="C16" s="38"/>
      <c r="D16" s="39"/>
    </row>
    <row r="17" spans="1:6" ht="17.25">
      <c r="B17" s="31" t="s">
        <v>0</v>
      </c>
      <c r="C17" s="32"/>
      <c r="D17" s="18">
        <v>200</v>
      </c>
    </row>
    <row r="18" spans="1:6" ht="17.25">
      <c r="B18" s="33" t="s">
        <v>1</v>
      </c>
      <c r="C18" s="34"/>
      <c r="D18" s="19">
        <v>5</v>
      </c>
    </row>
    <row r="19" spans="1:6" ht="17.25">
      <c r="B19" s="33" t="s">
        <v>2</v>
      </c>
      <c r="C19" s="34"/>
      <c r="D19" s="20">
        <v>1.0789999999999999E-2</v>
      </c>
    </row>
    <row r="20" spans="1:6" ht="17.25">
      <c r="B20" s="42" t="s">
        <v>3</v>
      </c>
      <c r="C20" s="43"/>
      <c r="D20" s="21">
        <f>FV(taxa_mensal,qtd_anos*12,aporte*-1)</f>
        <v>16755.382799697527</v>
      </c>
    </row>
    <row r="21" spans="1:6" ht="18" thickBot="1">
      <c r="B21" s="35" t="s">
        <v>4</v>
      </c>
      <c r="C21" s="36"/>
      <c r="D21" s="22">
        <f>patrimonio*rendimento_carteira</f>
        <v>100.53229679818516</v>
      </c>
      <c r="F21" s="3"/>
    </row>
    <row r="22" spans="1:6" ht="15" thickBot="1"/>
    <row r="23" spans="1:6" ht="30.75">
      <c r="B23" s="37" t="s">
        <v>11</v>
      </c>
      <c r="C23" s="38"/>
      <c r="D23" s="8" t="s">
        <v>12</v>
      </c>
    </row>
    <row r="24" spans="1:6" ht="17.25">
      <c r="A24" s="1">
        <v>2</v>
      </c>
      <c r="B24" s="9" t="s">
        <v>6</v>
      </c>
      <c r="C24" s="10">
        <f>FV($D$19,$A24*12,$D$17*-1)</f>
        <v>5445.5254595290435</v>
      </c>
      <c r="D24" s="11">
        <f>C24*rendimento_carteira</f>
        <v>32.673152757174265</v>
      </c>
    </row>
    <row r="25" spans="1:6" ht="17.25">
      <c r="A25" s="1">
        <v>5</v>
      </c>
      <c r="B25" s="12" t="s">
        <v>7</v>
      </c>
      <c r="C25" s="13">
        <f>FV($D$19,$A25*12,$D$17*-1)</f>
        <v>16755.382799697527</v>
      </c>
      <c r="D25" s="14">
        <f>C25*rendimento_carteira</f>
        <v>100.53229679818516</v>
      </c>
    </row>
    <row r="26" spans="1:6" ht="17.25">
      <c r="A26" s="1">
        <v>10</v>
      </c>
      <c r="B26" s="12" t="s">
        <v>8</v>
      </c>
      <c r="C26" s="13">
        <f>FV($D$19,$A26*12,$D$17*-1)</f>
        <v>48656.842506034438</v>
      </c>
      <c r="D26" s="14">
        <f>C26*rendimento_carteira</f>
        <v>291.94105503620665</v>
      </c>
    </row>
    <row r="27" spans="1:6" ht="17.25">
      <c r="A27" s="1">
        <v>20</v>
      </c>
      <c r="B27" s="12" t="s">
        <v>9</v>
      </c>
      <c r="C27" s="13">
        <f>FV($D$19,$A27*12,$D$17*-1)</f>
        <v>225039.68001941612</v>
      </c>
      <c r="D27" s="14">
        <f>C27*rendimento_carteira</f>
        <v>1350.2380801164968</v>
      </c>
    </row>
    <row r="28" spans="1:6" ht="18" thickBot="1">
      <c r="A28" s="1">
        <v>30</v>
      </c>
      <c r="B28" s="15" t="s">
        <v>10</v>
      </c>
      <c r="C28" s="16">
        <f>FV($D$19,$A28*12,$D$17*-1)</f>
        <v>864433.93100094295</v>
      </c>
      <c r="D28" s="17">
        <f>C28*rendimento_carteira</f>
        <v>5186.6035860056581</v>
      </c>
    </row>
    <row r="31" spans="1:6" ht="15" thickBot="1"/>
    <row r="32" spans="1:6" ht="15">
      <c r="B32" s="48" t="s">
        <v>20</v>
      </c>
      <c r="C32" s="49" t="s">
        <v>17</v>
      </c>
      <c r="D32" s="50"/>
    </row>
    <row r="33" spans="2:4" ht="15.75" thickBot="1">
      <c r="B33" s="51" t="s">
        <v>19</v>
      </c>
      <c r="C33" s="52">
        <f>aporte</f>
        <v>200</v>
      </c>
      <c r="D33" s="53"/>
    </row>
    <row r="34" spans="2:4" ht="15" thickBot="1"/>
    <row r="35" spans="2:4" ht="15">
      <c r="B35" s="44" t="s">
        <v>21</v>
      </c>
      <c r="C35" s="45" t="s">
        <v>22</v>
      </c>
      <c r="D35" s="46" t="s">
        <v>23</v>
      </c>
    </row>
    <row r="36" spans="2:4" ht="16.5">
      <c r="B36" s="54" t="s">
        <v>24</v>
      </c>
      <c r="C36" s="59">
        <f>VLOOKUP($C$32&amp;"-"&amp;B36,Planilha2!$A:$D,4,FALSE)</f>
        <v>0.32</v>
      </c>
      <c r="D36" s="55">
        <f>C36*$C$33</f>
        <v>64</v>
      </c>
    </row>
    <row r="37" spans="2:4" ht="16.5">
      <c r="B37" s="54" t="s">
        <v>25</v>
      </c>
      <c r="C37" s="59">
        <f>VLOOKUP($C$32&amp;"-"&amp;B37,Planilha2!$A:$D,4,FALSE)</f>
        <v>0.35</v>
      </c>
      <c r="D37" s="55">
        <f t="shared" ref="D37:D41" si="0">C37*$C$33</f>
        <v>70</v>
      </c>
    </row>
    <row r="38" spans="2:4" ht="16.5">
      <c r="B38" s="54" t="s">
        <v>26</v>
      </c>
      <c r="C38" s="59">
        <f>VLOOKUP($C$32&amp;"-"&amp;B38,Planilha2!$A:$D,4,FALSE)</f>
        <v>0.08</v>
      </c>
      <c r="D38" s="55">
        <f t="shared" si="0"/>
        <v>16</v>
      </c>
    </row>
    <row r="39" spans="2:4" ht="16.5">
      <c r="B39" s="54" t="s">
        <v>27</v>
      </c>
      <c r="C39" s="59">
        <f>VLOOKUP($C$32&amp;"-"&amp;B39,Planilha2!$A:$D,4,FALSE)</f>
        <v>0.05</v>
      </c>
      <c r="D39" s="55">
        <f t="shared" si="0"/>
        <v>10</v>
      </c>
    </row>
    <row r="40" spans="2:4" ht="16.5">
      <c r="B40" s="54" t="s">
        <v>28</v>
      </c>
      <c r="C40" s="59">
        <f>VLOOKUP($C$32&amp;"-"&amp;B40,Planilha2!$A:$D,4,FALSE)</f>
        <v>0.1</v>
      </c>
      <c r="D40" s="55">
        <f t="shared" si="0"/>
        <v>20</v>
      </c>
    </row>
    <row r="41" spans="2:4" ht="16.5">
      <c r="B41" s="54" t="s">
        <v>29</v>
      </c>
      <c r="C41" s="59">
        <f>VLOOKUP($C$32&amp;"-"&amp;B41,Planilha2!$A:$D,4,FALSE)</f>
        <v>0.1</v>
      </c>
      <c r="D41" s="55">
        <f t="shared" si="0"/>
        <v>20</v>
      </c>
    </row>
    <row r="42" spans="2:4" ht="15.75" thickBot="1">
      <c r="B42" s="47"/>
      <c r="C42" s="60"/>
      <c r="D42" s="61">
        <f>SUM(D36:D41)</f>
        <v>200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D21"/>
  <sheetViews>
    <sheetView showGridLines="0" zoomScale="115" zoomScaleNormal="115" workbookViewId="0">
      <selection activeCell="H15" sqref="H15"/>
    </sheetView>
  </sheetViews>
  <sheetFormatPr defaultRowHeight="14.25"/>
  <cols>
    <col min="1" max="1" width="29.125" bestFit="1" customWidth="1"/>
    <col min="2" max="2" width="11.5" bestFit="1" customWidth="1"/>
    <col min="3" max="3" width="17.75" bestFit="1" customWidth="1"/>
    <col min="7" max="7" width="15.375" bestFit="1" customWidth="1"/>
  </cols>
  <sheetData>
    <row r="2" spans="1:4">
      <c r="A2" s="29" t="s">
        <v>31</v>
      </c>
      <c r="B2" s="29" t="s">
        <v>20</v>
      </c>
      <c r="C2" s="30" t="s">
        <v>21</v>
      </c>
      <c r="D2" s="30" t="s">
        <v>30</v>
      </c>
    </row>
    <row r="3" spans="1:4">
      <c r="A3" t="str">
        <f>B3&amp;"-"&amp;C3</f>
        <v>Conservador-PAPEL</v>
      </c>
      <c r="B3" t="s">
        <v>16</v>
      </c>
      <c r="C3" s="2" t="s">
        <v>24</v>
      </c>
      <c r="D3" s="4">
        <v>0.3</v>
      </c>
    </row>
    <row r="4" spans="1:4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</row>
    <row r="5" spans="1:4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4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4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4" ht="15" thickBot="1">
      <c r="A8" s="26" t="str">
        <f t="shared" si="0"/>
        <v>Conservador-HOTELARIAS</v>
      </c>
      <c r="B8" s="26" t="s">
        <v>16</v>
      </c>
      <c r="C8" s="27" t="s">
        <v>29</v>
      </c>
      <c r="D8" s="28">
        <v>0</v>
      </c>
    </row>
    <row r="9" spans="1:4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4">
      <c r="A10" s="56" t="str">
        <f t="shared" si="0"/>
        <v>Moderado-TIJOLO</v>
      </c>
      <c r="B10" s="56" t="s">
        <v>17</v>
      </c>
      <c r="C10" s="57" t="s">
        <v>25</v>
      </c>
      <c r="D10" s="58">
        <v>0.35</v>
      </c>
    </row>
    <row r="11" spans="1:4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4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4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4" ht="15" thickBot="1">
      <c r="A14" s="26" t="str">
        <f t="shared" si="0"/>
        <v>Moderado-HOTELARIAS</v>
      </c>
      <c r="B14" s="26" t="s">
        <v>17</v>
      </c>
      <c r="C14" s="27" t="s">
        <v>29</v>
      </c>
      <c r="D14" s="28">
        <v>0.1</v>
      </c>
    </row>
    <row r="15" spans="1:4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4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USER</cp:lastModifiedBy>
  <dcterms:created xsi:type="dcterms:W3CDTF">2025-04-16T18:38:03Z</dcterms:created>
  <dcterms:modified xsi:type="dcterms:W3CDTF">2026-09-24T00:41:37Z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